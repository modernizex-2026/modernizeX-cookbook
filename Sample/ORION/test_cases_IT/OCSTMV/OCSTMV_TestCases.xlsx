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Case" sheetId="1" state="visible" r:id="rId1"/>
  </sheets>
  <definedNames>
    <definedName name="_xlnm.Print_Titles" localSheetId="0">'TestCase'!$9:$9</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Segoe UI"/>
      <b val="1"/>
      <color rgb="001F3864"/>
      <sz val="20"/>
    </font>
    <font>
      <name val="Segoe UI"/>
      <color rgb="00555555"/>
      <sz val="11"/>
    </font>
    <font>
      <name val="Segoe UI"/>
      <b val="1"/>
      <color rgb="001F3864"/>
      <sz val="10"/>
    </font>
    <font>
      <name val="Segoe UI"/>
      <color rgb="001A1A1A"/>
      <sz val="10"/>
    </font>
    <font>
      <name val="Segoe UI"/>
      <color rgb="00666666"/>
      <sz val="9"/>
    </font>
    <font>
      <name val="Segoe UI"/>
      <b val="1"/>
      <color rgb="00FFFFFF"/>
      <sz val="10"/>
    </font>
    <font>
      <name val="Segoe UI"/>
      <b val="1"/>
      <color rgb="001E7A46"/>
      <sz val="9"/>
    </font>
    <font>
      <name val="Segoe UI"/>
      <b val="1"/>
      <color rgb="00B42318"/>
      <sz val="9"/>
    </font>
    <font>
      <name val="Segoe UI"/>
      <color rgb="001E7A46"/>
      <sz val="11"/>
    </font>
    <font>
      <name val="Segoe UI"/>
      <b val="1"/>
      <color rgb="009A6206"/>
      <sz val="9"/>
    </font>
    <font>
      <name val="Segoe UI"/>
      <b val="1"/>
      <color rgb="00475467"/>
      <sz val="9"/>
    </font>
    <font>
      <name val="Segoe UI"/>
      <b val="1"/>
      <color rgb="006941C6"/>
      <sz val="9"/>
    </font>
  </fonts>
  <fills count="13">
    <fill>
      <patternFill/>
    </fill>
    <fill>
      <patternFill patternType="gray125"/>
    </fill>
    <fill>
      <patternFill patternType="solid">
        <fgColor rgb="00D9E1F2"/>
      </patternFill>
    </fill>
    <fill>
      <patternFill patternType="solid">
        <fgColor rgb="00305496"/>
      </patternFill>
    </fill>
    <fill>
      <patternFill patternType="solid">
        <fgColor rgb="00FFFFFF"/>
      </patternFill>
    </fill>
    <fill>
      <patternFill patternType="solid">
        <fgColor rgb="00E2F4EA"/>
      </patternFill>
    </fill>
    <fill>
      <patternFill patternType="solid">
        <fgColor rgb="00FCE0DE"/>
      </patternFill>
    </fill>
    <fill>
      <patternFill patternType="solid">
        <fgColor rgb="00F2F6FC"/>
      </patternFill>
    </fill>
    <fill>
      <patternFill patternType="solid">
        <fgColor rgb="00FEF0C7"/>
      </patternFill>
    </fill>
    <fill>
      <patternFill patternType="solid">
        <fgColor rgb="00FCE8E6"/>
      </patternFill>
    </fill>
    <fill>
      <patternFill patternType="solid">
        <fgColor rgb="00FEF3D6"/>
      </patternFill>
    </fill>
    <fill>
      <patternFill patternType="solid">
        <fgColor rgb="00E7EBF0"/>
      </patternFill>
    </fill>
    <fill>
      <patternFill patternType="solid">
        <fgColor rgb="00EFE7FB"/>
      </patternFill>
    </fill>
  </fills>
  <borders count="15">
    <border>
      <left/>
      <right/>
      <top/>
      <bottom/>
      <diagonal/>
    </border>
    <border>
      <bottom style="medium">
        <color rgb="008EAADB"/>
      </bottom>
    </border>
    <border>
      <left style="thin">
        <color rgb="00B4C6E7"/>
      </left>
      <right style="thin">
        <color rgb="00B4C6E7"/>
      </right>
      <top style="thin">
        <color rgb="00B4C6E7"/>
      </top>
      <bottom style="thin">
        <color rgb="00B4C6E7"/>
      </bottom>
    </border>
    <border>
      <left style="thin">
        <color rgb="00B4C6E7"/>
      </left>
      <right style="thin">
        <color rgb="00B4C6E7"/>
      </right>
      <top style="medium">
        <color rgb="008EAADB"/>
      </top>
      <bottom style="medium">
        <color rgb="008EAADB"/>
      </bottom>
    </border>
    <border>
      <left style="thin">
        <color rgb="00B4C6E7"/>
      </left>
      <right/>
      <top/>
      <bottom/>
      <diagonal/>
    </border>
    <border>
      <left style="thin">
        <color rgb="00B4C6E7"/>
      </left>
      <right style="thin">
        <color rgb="00B4C6E7"/>
      </right>
      <top/>
      <bottom/>
      <diagonal/>
    </border>
    <border>
      <left style="thin">
        <color rgb="00B4C6E7"/>
      </left>
      <right style="thin">
        <color rgb="00B4C6E7"/>
      </right>
      <top/>
      <bottom style="thin">
        <color rgb="00B4C6E7"/>
      </bottom>
      <diagonal/>
    </border>
    <border>
      <left style="thin">
        <color rgb="00B4C6E7"/>
      </left>
      <right style="thin">
        <color rgb="00B4C6E7"/>
      </right>
      <top style="thin">
        <color rgb="00B4C6E7"/>
      </top>
      <bottom style="medium">
        <color rgb="008EAADB"/>
      </bottom>
    </border>
    <border>
      <left style="thin">
        <color rgb="00B4C6E7"/>
      </left>
      <right style="thin">
        <color rgb="00B4C6E7"/>
      </right>
      <top/>
      <bottom style="medium">
        <color rgb="008EAADB"/>
      </bottom>
    </border>
    <border>
      <left/>
      <right/>
      <top style="thin">
        <color rgb="00B4C6E7"/>
      </top>
      <bottom/>
      <diagonal/>
    </border>
    <border>
      <left/>
      <right style="thin">
        <color rgb="00B4C6E7"/>
      </right>
      <top style="thin">
        <color rgb="00B4C6E7"/>
      </top>
      <bottom/>
      <diagonal/>
    </border>
    <border>
      <left/>
      <right style="thin">
        <color rgb="00B4C6E7"/>
      </right>
      <top style="thin">
        <color rgb="00B4C6E7"/>
      </top>
      <bottom style="thin">
        <color rgb="00B4C6E7"/>
      </bottom>
      <diagonal/>
    </border>
    <border>
      <left/>
      <right/>
      <top style="thin">
        <color rgb="00B4C6E7"/>
      </top>
      <bottom style="thin">
        <color rgb="00B4C6E7"/>
      </bottom>
      <diagonal/>
    </border>
    <border>
      <left/>
      <right/>
      <top/>
      <bottom style="medium">
        <color rgb="008EAADB"/>
      </bottom>
      <diagonal/>
    </border>
    <border>
      <right/>
      <bottom style="medium">
        <color rgb="008EAADB"/>
      </bottom>
    </border>
  </borders>
  <cellStyleXfs count="1">
    <xf numFmtId="0" fontId="0" fillId="0" borderId="0"/>
  </cellStyleXfs>
  <cellXfs count="37">
    <xf numFmtId="0" fontId="0" fillId="0" borderId="0" pivotButton="0" quotePrefix="0" xfId="0"/>
    <xf numFmtId="0" fontId="1" fillId="0" borderId="0" applyAlignment="1" pivotButton="0" quotePrefix="0" xfId="0">
      <alignment horizontal="center" vertical="center"/>
    </xf>
    <xf numFmtId="0" fontId="2" fillId="0" borderId="1" applyAlignment="1" pivotButton="0" quotePrefix="0" xfId="0">
      <alignment horizontal="center" vertical="center"/>
    </xf>
    <xf numFmtId="0" fontId="0" fillId="0" borderId="1" pivotButton="0" quotePrefix="0" xfId="0"/>
    <xf numFmtId="0" fontId="3" fillId="2" borderId="2" applyAlignment="1" pivotButton="0" quotePrefix="0" xfId="0">
      <alignment horizontal="center" vertical="center"/>
    </xf>
    <xf numFmtId="0" fontId="0" fillId="0" borderId="2" pivotButton="0" quotePrefix="0" xfId="0"/>
    <xf numFmtId="0" fontId="4" fillId="0" borderId="2" applyAlignment="1" pivotButton="0" quotePrefix="0" xfId="0">
      <alignment horizontal="left" vertical="center" indent="1"/>
    </xf>
    <xf numFmtId="0" fontId="3"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3" borderId="3" applyAlignment="1" pivotButton="0" quotePrefix="0" xfId="0">
      <alignment horizontal="center" vertical="center" wrapText="1"/>
    </xf>
    <xf numFmtId="0" fontId="4" fillId="4" borderId="2" applyAlignment="1" pivotButton="0" quotePrefix="0" xfId="0">
      <alignment horizontal="center" vertical="center" wrapText="1"/>
    </xf>
    <xf numFmtId="0" fontId="4" fillId="4" borderId="2" applyAlignment="1" pivotButton="0" quotePrefix="0" xfId="0">
      <alignment horizontal="left" vertical="top" wrapText="1" indent="1"/>
    </xf>
    <xf numFmtId="0" fontId="3" fillId="4" borderId="2" applyAlignment="1" pivotButton="0" quotePrefix="0" xfId="0">
      <alignment horizontal="center" vertical="center" wrapText="1"/>
    </xf>
    <xf numFmtId="0" fontId="7" fillId="5" borderId="2" applyAlignment="1" pivotButton="0" quotePrefix="0" xfId="0">
      <alignment horizontal="center" vertical="center" wrapText="1"/>
    </xf>
    <xf numFmtId="0" fontId="8" fillId="6" borderId="2" applyAlignment="1" pivotButton="0" quotePrefix="0" xfId="0">
      <alignment horizontal="center" vertical="center" wrapText="1"/>
    </xf>
    <xf numFmtId="0" fontId="9" fillId="4" borderId="2" applyAlignment="1" pivotButton="0" quotePrefix="0" xfId="0">
      <alignment horizontal="center" vertical="center" wrapText="1"/>
    </xf>
    <xf numFmtId="0" fontId="4" fillId="7" borderId="2" applyAlignment="1" pivotButton="0" quotePrefix="0" xfId="0">
      <alignment horizontal="center" vertical="center" wrapText="1"/>
    </xf>
    <xf numFmtId="0" fontId="0" fillId="0" borderId="5" pivotButton="0" quotePrefix="0" xfId="0"/>
    <xf numFmtId="0" fontId="4" fillId="7" borderId="2" applyAlignment="1" pivotButton="0" quotePrefix="0" xfId="0">
      <alignment horizontal="left" vertical="top" wrapText="1" indent="1"/>
    </xf>
    <xf numFmtId="0" fontId="3" fillId="7" borderId="2" applyAlignment="1" pivotButton="0" quotePrefix="0" xfId="0">
      <alignment horizontal="center" vertical="center" wrapText="1"/>
    </xf>
    <xf numFmtId="0" fontId="9" fillId="7" borderId="2" applyAlignment="1" pivotButton="0" quotePrefix="0" xfId="0">
      <alignment horizontal="center" vertical="center" wrapText="1"/>
    </xf>
    <xf numFmtId="0" fontId="10" fillId="8" borderId="2" applyAlignment="1" pivotButton="0" quotePrefix="0" xfId="0">
      <alignment horizontal="center" vertical="center" wrapText="1"/>
    </xf>
    <xf numFmtId="0" fontId="8" fillId="9" borderId="2" applyAlignment="1" pivotButton="0" quotePrefix="0" xfId="0">
      <alignment horizontal="center" vertical="center" wrapText="1"/>
    </xf>
    <xf numFmtId="0" fontId="0" fillId="0" borderId="6" pivotButton="0" quotePrefix="0" xfId="0"/>
    <xf numFmtId="0" fontId="10" fillId="10" borderId="2" applyAlignment="1" pivotButton="0" quotePrefix="0" xfId="0">
      <alignment horizontal="center" vertical="center" wrapText="1"/>
    </xf>
    <xf numFmtId="0" fontId="11" fillId="11" borderId="2" applyAlignment="1" pivotButton="0" quotePrefix="0" xfId="0">
      <alignment horizontal="center" vertical="center" wrapText="1"/>
    </xf>
    <xf numFmtId="0" fontId="4" fillId="7" borderId="7" applyAlignment="1" pivotButton="0" quotePrefix="0" xfId="0">
      <alignment horizontal="center" vertical="center" wrapText="1"/>
    </xf>
    <xf numFmtId="0" fontId="0" fillId="0" borderId="8" pivotButton="0" quotePrefix="0" xfId="0"/>
    <xf numFmtId="0" fontId="4" fillId="7" borderId="7" applyAlignment="1" pivotButton="0" quotePrefix="0" xfId="0">
      <alignment horizontal="left" vertical="top" wrapText="1" indent="1"/>
    </xf>
    <xf numFmtId="0" fontId="3" fillId="7" borderId="7" applyAlignment="1" pivotButton="0" quotePrefix="0" xfId="0">
      <alignment horizontal="center" vertical="center" wrapText="1"/>
    </xf>
    <xf numFmtId="0" fontId="12" fillId="12" borderId="7" applyAlignment="1" pivotButton="0" quotePrefix="0" xfId="0">
      <alignment horizontal="center" vertical="center" wrapText="1"/>
    </xf>
    <xf numFmtId="0" fontId="8" fillId="6" borderId="7" applyAlignment="1" pivotButton="0" quotePrefix="0" xfId="0">
      <alignment horizontal="center" vertical="center" wrapText="1"/>
    </xf>
    <xf numFmtId="0" fontId="9" fillId="7" borderId="7" applyAlignment="1" pivotButton="0" quotePrefix="0" xfId="0">
      <alignment horizontal="center" vertical="center" wrapText="1"/>
    </xf>
    <xf numFmtId="0" fontId="0" fillId="0" borderId="13" pivotButton="0" quotePrefix="0" xfId="0"/>
    <xf numFmtId="0" fontId="0" fillId="0" borderId="11" pivotButton="0" quotePrefix="0" xfId="0"/>
    <xf numFmtId="0" fontId="0" fillId="0" borderId="12" pivotButton="0" quotePrefix="0" xfId="0"/>
    <xf numFmtId="0" fontId="2" fillId="0" borderId="14" applyAlignment="1" pivotButton="0" quotePrefix="0" xfId="0">
      <alignment horizontal="center" vertical="center"/>
    </xf>
  </cellXfs>
  <cellStyles count="1">
    <cellStyle name="Normal" xfId="0" builtinId="0" hidden="0"/>
  </cellStyles>
  <dxfs count="4">
    <dxf>
      <font>
        <name val="Segoe UI"/>
        <b val="1"/>
        <color rgb="001E7A46"/>
      </font>
      <fill>
        <patternFill patternType="solid">
          <fgColor rgb="00C6EFCE"/>
        </patternFill>
      </fill>
    </dxf>
    <dxf>
      <font>
        <name val="Segoe UI"/>
        <b val="1"/>
        <color rgb="00B42318"/>
      </font>
      <fill>
        <patternFill patternType="solid">
          <fgColor rgb="00FFC7CE"/>
        </patternFill>
      </fill>
    </dxf>
    <dxf>
      <font>
        <name val="Segoe UI"/>
        <b val="1"/>
        <color rgb="009A6206"/>
      </font>
      <fill>
        <patternFill patternType="solid">
          <fgColor rgb="00FFEB9C"/>
        </patternFill>
      </fill>
    </dxf>
    <dxf>
      <font>
        <name val="Segoe UI"/>
        <color rgb="00475467"/>
      </font>
      <fill>
        <patternFill patternType="solid">
          <fgColor rgb="00E7EB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P31"/>
  <sheetViews>
    <sheetView showGridLines="0" workbookViewId="0">
      <pane xSplit="4" ySplit="9" topLeftCell="E10"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4.5" customWidth="1" min="1" max="1"/>
    <col width="13" customWidth="1" min="2" max="2"/>
    <col width="14" customWidth="1" min="3" max="3"/>
    <col width="11" customWidth="1" min="4" max="4"/>
    <col width="34" customWidth="1" min="5" max="5"/>
    <col width="11" customWidth="1" min="6" max="6"/>
    <col width="8" customWidth="1" min="7" max="7"/>
    <col width="22" customWidth="1" min="8" max="8"/>
    <col width="38" customWidth="1" min="9" max="9"/>
    <col width="20" customWidth="1" min="10" max="10"/>
    <col width="38" customWidth="1" min="11" max="11"/>
    <col width="13" customWidth="1" min="12" max="12"/>
    <col width="5.5" customWidth="1" min="13" max="13"/>
    <col width="9" customWidth="1" min="14" max="14"/>
    <col width="11" customWidth="1" min="15" max="15"/>
    <col width="15" customWidth="1" min="16" max="16"/>
  </cols>
  <sheetData>
    <row r="1" ht="34" customHeight="1">
      <c r="A1" s="1" t="inlineStr">
        <is>
          <t>TEST CASE SPECIFICATION</t>
        </is>
      </c>
    </row>
    <row r="2" ht="20" customHeight="1">
      <c r="A2" s="36" t="inlineStr">
        <is>
          <t>【Statement View (OCSTMV)】 ORION-CCMS (ORION Credit Card Management System)</t>
        </is>
      </c>
      <c r="B2" s="33" t="n"/>
      <c r="C2" s="33" t="n"/>
      <c r="D2" s="33" t="n"/>
      <c r="E2" s="33" t="n"/>
      <c r="F2" s="33" t="n"/>
      <c r="G2" s="33" t="n"/>
      <c r="H2" s="33" t="n"/>
      <c r="I2" s="33" t="n"/>
      <c r="J2" s="33" t="n"/>
      <c r="K2" s="33" t="n"/>
      <c r="L2" s="33" t="n"/>
      <c r="M2" s="33" t="n"/>
      <c r="N2" s="33" t="n"/>
      <c r="O2" s="33" t="n"/>
      <c r="P2" s="33" t="n"/>
    </row>
    <row r="3" ht="6" customHeight="1"/>
    <row r="4" ht="19" customHeight="1">
      <c r="A4" s="4" t="inlineStr">
        <is>
          <t>Project</t>
        </is>
      </c>
      <c r="B4" s="34" t="n"/>
      <c r="C4" s="6" t="inlineStr">
        <is>
          <t>ORION-CCMS (ORION Credit Card Management System)</t>
        </is>
      </c>
      <c r="D4" s="35" t="n"/>
      <c r="E4" s="35" t="n"/>
      <c r="F4" s="34" t="n"/>
      <c r="G4" s="7" t="inlineStr">
        <is>
          <t>Number of test cases: 22</t>
        </is>
      </c>
      <c r="L4" s="4" t="inlineStr">
        <is>
          <t>Document No.</t>
        </is>
      </c>
      <c r="M4" s="6" t="inlineStr">
        <is>
          <t>QA-TC-OCSTMV-001</t>
        </is>
      </c>
      <c r="N4" s="35" t="n"/>
      <c r="O4" s="35" t="n"/>
      <c r="P4" s="34" t="n"/>
    </row>
    <row r="5" ht="19" customHeight="1">
      <c r="A5" s="4" t="inlineStr">
        <is>
          <t>Function</t>
        </is>
      </c>
      <c r="B5" s="34" t="n"/>
      <c r="C5" s="6" t="inlineStr">
        <is>
          <t>Statement View (OCSTMV)</t>
        </is>
      </c>
      <c r="D5" s="35" t="n"/>
      <c r="E5" s="35" t="n"/>
      <c r="F5" s="34" t="n"/>
      <c r="G5" s="8" t="inlineStr">
        <is>
          <t>Category: Normal / Abnormal / Boundary / Security
Result: Pass · Fail · Pending · N/A (pick from the dropdown)</t>
        </is>
      </c>
      <c r="L5" s="4" t="inlineStr">
        <is>
          <t>Version</t>
        </is>
      </c>
      <c r="M5" s="6" t="inlineStr">
        <is>
          <t>1.0</t>
        </is>
      </c>
      <c r="N5" s="35" t="n"/>
      <c r="O5" s="35" t="n"/>
      <c r="P5" s="34" t="n"/>
    </row>
    <row r="6" ht="19" customHeight="1">
      <c r="A6" s="4" t="inlineStr">
        <is>
          <t>Test level</t>
        </is>
      </c>
      <c r="B6" s="34" t="n"/>
      <c r="C6" s="6" t="inlineStr">
        <is>
          <t>Functional test (screen / CICS-BMS)</t>
        </is>
      </c>
      <c r="D6" s="35" t="n"/>
      <c r="E6" s="35" t="n"/>
      <c r="F6" s="34" t="n"/>
      <c r="L6" s="4" t="inlineStr">
        <is>
          <t>Created on</t>
        </is>
      </c>
      <c r="M6" s="6" t="inlineStr">
        <is>
          <t>2026/09/28</t>
        </is>
      </c>
      <c r="N6" s="35" t="n"/>
      <c r="O6" s="35" t="n"/>
      <c r="P6" s="34" t="n"/>
    </row>
    <row r="7" ht="19" customHeight="1">
      <c r="A7" s="4" t="inlineStr">
        <is>
          <t>Environment (URL)</t>
        </is>
      </c>
      <c r="B7" s="34" t="n"/>
      <c r="C7" s="6" t="inlineStr">
        <is>
          <t>*fill*</t>
        </is>
      </c>
      <c r="D7" s="35" t="n"/>
      <c r="E7" s="35" t="n"/>
      <c r="F7" s="34" t="n"/>
      <c r="L7" s="4" t="inlineStr">
        <is>
          <t>Author</t>
        </is>
      </c>
      <c r="M7" s="6" t="inlineStr">
        <is>
          <t>modernizeX</t>
        </is>
      </c>
      <c r="N7" s="35" t="n"/>
      <c r="O7" s="35" t="n"/>
      <c r="P7" s="34" t="n"/>
    </row>
    <row r="8" ht="6" customHeight="1"/>
    <row r="9" ht="30" customHeight="1">
      <c r="A9" s="9" t="inlineStr">
        <is>
          <t>No.</t>
        </is>
      </c>
      <c r="B9" s="9" t="inlineStr">
        <is>
          <t>Function group</t>
        </is>
      </c>
      <c r="C9" s="9" t="inlineStr">
        <is>
          <t>Sub-function</t>
        </is>
      </c>
      <c r="D9" s="9" t="inlineStr">
        <is>
          <t>TC ID</t>
        </is>
      </c>
      <c r="E9" s="9" t="inlineStr">
        <is>
          <t>Test case name (what to verify)</t>
        </is>
      </c>
      <c r="F9" s="9" t="inlineStr">
        <is>
          <t>Category</t>
        </is>
      </c>
      <c r="G9" s="9" t="inlineStr">
        <is>
          <t>Priority</t>
        </is>
      </c>
      <c r="H9" s="9" t="inlineStr">
        <is>
          <t>Preconditions</t>
        </is>
      </c>
      <c r="I9" s="9" t="inlineStr">
        <is>
          <t>Steps</t>
        </is>
      </c>
      <c r="J9" s="9" t="inlineStr">
        <is>
          <t>Test data</t>
        </is>
      </c>
      <c r="K9" s="9" t="inlineStr">
        <is>
          <t>Expected result</t>
        </is>
      </c>
      <c r="L9" s="9" t="inlineStr">
        <is>
          <t>Automation ID</t>
        </is>
      </c>
      <c r="M9" s="9" t="inlineStr">
        <is>
          <t>Auto</t>
        </is>
      </c>
      <c r="N9" s="9" t="inlineStr">
        <is>
          <t>Result</t>
        </is>
      </c>
      <c r="O9" s="9" t="inlineStr">
        <is>
          <t>Test date</t>
        </is>
      </c>
      <c r="P9" s="9" t="inlineStr">
        <is>
          <t>Notes</t>
        </is>
      </c>
    </row>
    <row r="10">
      <c r="A10" s="10" t="n">
        <v>1</v>
      </c>
      <c r="B10" s="10" t="inlineStr">
        <is>
          <t>Statement View</t>
        </is>
      </c>
      <c r="C10" s="11" t="inlineStr">
        <is>
          <t>画面表示・レイアウト (Screen display / layout)</t>
        </is>
      </c>
      <c r="D10" s="12" t="inlineStr">
        <is>
          <t>IT_STMTVIEW_HAPPY_001</t>
        </is>
      </c>
      <c r="E10" s="11" t="inlineStr">
        <is>
          <t>Initial Statement View screen renders with captions, key fields and PF-key line</t>
        </is>
      </c>
      <c r="F10" s="13" t="inlineStr">
        <is>
          <t>Normal</t>
        </is>
      </c>
      <c r="G10" s="14" t="inlineStr">
        <is>
          <t>High</t>
        </is>
      </c>
      <c r="H10" s="11" t="inlineStr">
        <is>
          <t>F-STD. The operator opens Statement View (transaction ORSV) from the main menu for the first time.</t>
        </is>
      </c>
      <c r="I10" s="11" t="inlineStr">
        <is>
          <t>1. Select the Statement View function from the main menu
2. Observe the freshly painted screen</t>
        </is>
      </c>
      <c r="J10" s="11" t="inlineStr">
        <is>
          <t>-</t>
        </is>
      </c>
      <c r="K10" s="11" t="inlineStr">
        <is>
          <t>The form is shown with its captions 「Tran:」「Date:」「Pgm :」「Time:」「Acct ID :」「Cycle   :」「Open Bal:」「Close   :」「Min Due :」「Due Date:」. The Acct ID (11-char) and Cycle (6-char) fields are empty and ready for input; the four detail fields (Open Bal / Close / Min Due / Due Date) are blank; the key line 「ENTER=Process  PF3=Back  PF4=Clear」 is displayed.</t>
        </is>
      </c>
      <c r="L10" s="10" t="inlineStr"/>
      <c r="M10" s="15" t="inlineStr">
        <is>
          <t>×</t>
        </is>
      </c>
      <c r="N10" s="10" t="inlineStr"/>
      <c r="O10" s="10" t="inlineStr"/>
      <c r="P10" s="11" t="inlineStr">
        <is>
          <t>map MSTMVA (mapset MSTMV) · 1000-SEND-INITIAL L120-132 (SEND MAP ERASE) · ACCTID len 11 / STCYC len 6 · design §2 item details</t>
        </is>
      </c>
    </row>
    <row r="11">
      <c r="A11" s="10" t="n">
        <v>2</v>
      </c>
      <c r="B11" s="17" t="n"/>
      <c r="C11" s="11" t="inlineStr">
        <is>
          <t>初期値・デフォルト (Initial values / defaults)</t>
        </is>
      </c>
      <c r="D11" s="12" t="inlineStr">
        <is>
          <t>IT_STMTVIEW_HAPPY_002</t>
        </is>
      </c>
      <c r="E11" s="11" t="inlineStr">
        <is>
          <t>Header line, current date/time and guidance prompt are auto-populated on open</t>
        </is>
      </c>
      <c r="F11" s="13" t="inlineStr">
        <is>
          <t>Normal</t>
        </is>
      </c>
      <c r="G11" s="14" t="inlineStr">
        <is>
          <t>Low</t>
        </is>
      </c>
      <c r="H11" s="11" t="inlineStr">
        <is>
          <t>F-STD. First entry to the Statement View screen.</t>
        </is>
      </c>
      <c r="I11" s="11" t="inlineStr">
        <is>
          <t>1. Open the Statement View screen
2. Check the header line, the date/time fields and the message line</t>
        </is>
      </c>
      <c r="J11" s="11" t="inlineStr">
        <is>
          <t>-</t>
        </is>
      </c>
      <c r="K11" s="11" t="inlineStr">
        <is>
          <t>The header shows the transaction id 「ORSV」, the program name 「OCSTMV」 and the system title 「ORION CREDIT CARD MANAGEMENT SYSTEM」; the current date (e.g. 2026-09-28) and current time (e.g. 14:30:05) are filled from the system clock. The message line shows the prompt 「Enter account id and cycle, press ENTER.」. The cursor rests on the Acct ID field.</t>
        </is>
      </c>
      <c r="L11" s="10" t="inlineStr"/>
      <c r="M11" s="15" t="inlineStr">
        <is>
          <t>×</t>
        </is>
      </c>
      <c r="N11" s="10" t="inlineStr"/>
      <c r="O11" s="10" t="inlineStr"/>
      <c r="P11" s="11" t="inlineStr">
        <is>
          <t>8000-POPULATE-HEADER L296-302 · TITLEO=WS-HDR-TITLE (WHEAD) · 8500-GET-DATE-TIME ASKTIME/FORMATTIME L319-331 · prompt WS-M-PROMPT L123 · cursor MOVE -1 TO ACCTIDL L124</t>
        </is>
      </c>
    </row>
    <row r="12">
      <c r="A12" s="10" t="n">
        <v>3</v>
      </c>
      <c r="B12" s="17" t="n"/>
      <c r="C12" s="11" t="inlineStr">
        <is>
          <t>機能・業務フロー (Function / business flow)</t>
        </is>
      </c>
      <c r="D12" s="12" t="inlineStr">
        <is>
          <t>IT_STMTVIEW_HAPPY_003</t>
        </is>
      </c>
      <c r="E12" s="11" t="inlineStr">
        <is>
          <t>Look up an existing statement by account and cycle — details displayed</t>
        </is>
      </c>
      <c r="F12" s="13" t="inlineStr">
        <is>
          <t>Normal</t>
        </is>
      </c>
      <c r="G12" s="14" t="inlineStr">
        <is>
          <t>High</t>
        </is>
      </c>
      <c r="H12" s="11" t="inlineStr">
        <is>
          <t>F-STD (statement S1 exists: Acct 00000000001, Cycle 202412).</t>
        </is>
      </c>
      <c r="I12" s="11" t="inlineStr">
        <is>
          <t>1. Open the Statement View screen
2. Enter Acct ID = 00000000001
3. Enter Cycle = 202412
4. Press ENTER</t>
        </is>
      </c>
      <c r="J12" s="11" t="inlineStr">
        <is>
          <t>Acct ID=00000000001; Cycle=202412</t>
        </is>
      </c>
      <c r="K12" s="11" t="inlineStr">
        <is>
          <t>The statement for account 00000000001 / cycle 202412 is retrieved and its details are shown: Open Bal 「1,500.00」, Close 「2,350.75」, Min Due 「235.08」, Due Date 「2025-01-15」. The message line reads 「Statement displayed.」 and the screen stays on Statement View.</t>
        </is>
      </c>
      <c r="L12" s="10" t="inlineStr"/>
      <c r="M12" s="15" t="inlineStr">
        <is>
          <t>×</t>
        </is>
      </c>
      <c r="N12" s="10" t="inlineStr"/>
      <c r="O12" s="10" t="inlineStr"/>
      <c r="P12" s="11" t="inlineStr">
        <is>
          <t>2100-VIEW-STMT L168-171 · 3000-READ-STMT READ WS-STMTFILE L191 DFHRESP(NORMAL) L193 · 4000-POPULATE-DETAIL L205-214 · WS-M-SHOWN L171 · RSTMT ST-OPEN/CLOSE/MIN/DUE</t>
        </is>
      </c>
    </row>
    <row r="13">
      <c r="A13" s="10" t="n">
        <v>4</v>
      </c>
      <c r="B13" s="17" t="n"/>
      <c r="C13" s="23" t="n"/>
      <c r="D13" s="12" t="inlineStr">
        <is>
          <t>IT_STMTVIEW_HAPPY_004</t>
        </is>
      </c>
      <c r="E13" s="11" t="inlineStr">
        <is>
          <t>Look up a valid account/cycle with no statement on file — not-found message, details cleared</t>
        </is>
      </c>
      <c r="F13" s="13" t="inlineStr">
        <is>
          <t>Normal</t>
        </is>
      </c>
      <c r="G13" s="14" t="inlineStr">
        <is>
          <t>High</t>
        </is>
      </c>
      <c r="H13" s="11" t="inlineStr">
        <is>
          <t>F-STD (no statement for Acct 00000000001, Cycle 202401).</t>
        </is>
      </c>
      <c r="I13" s="11" t="inlineStr">
        <is>
          <t>1. Open the Statement View screen
2. Enter Acct ID = 00000000001
3. Enter Cycle = 202401
4. Press ENTER</t>
        </is>
      </c>
      <c r="J13" s="11" t="inlineStr">
        <is>
          <t>Acct ID=00000000001; Cycle=202401</t>
        </is>
      </c>
      <c r="K13" s="11" t="inlineStr">
        <is>
          <t>The key is well-formed so the lookup runs, but no statement exists for that account and cycle. The four detail fields (Open Bal / Close / Min Due / Due Date) are cleared to blank and the message line reads 「No statement for that account and cycle.」. The screen stays on Statement View.</t>
        </is>
      </c>
      <c r="L13" s="10" t="inlineStr"/>
      <c r="M13" s="15" t="inlineStr">
        <is>
          <t>×</t>
        </is>
      </c>
      <c r="N13" s="10" t="inlineStr"/>
      <c r="O13" s="10" t="inlineStr"/>
      <c r="P13" s="11" t="inlineStr">
        <is>
          <t>2100-VIEW-STMT ELSE L172-174 · 3000-READ-STMT DFHRESP(NOTFND) L195-196 · 4100-CLEAR-DETAIL L218-222 · WS-M-NOTFND L174</t>
        </is>
      </c>
    </row>
    <row r="14">
      <c r="A14" s="10" t="n">
        <v>5</v>
      </c>
      <c r="B14" s="17" t="n"/>
      <c r="C14" s="11" t="inlineStr">
        <is>
          <t>文字・書式表示 (Characters / format display)</t>
        </is>
      </c>
      <c r="D14" s="12" t="inlineStr">
        <is>
          <t>IT_STMTVIEW_HAPPY_005</t>
        </is>
      </c>
      <c r="E14" s="11" t="inlineStr">
        <is>
          <t>Credit (negative) balance shown with floating minus and thousands separators</t>
        </is>
      </c>
      <c r="F14" s="13" t="inlineStr">
        <is>
          <t>Normal</t>
        </is>
      </c>
      <c r="G14" s="14" t="inlineStr">
        <is>
          <t>Medium</t>
        </is>
      </c>
      <c r="H14" s="11" t="inlineStr">
        <is>
          <t>F-STD (statement S3: Acct 00000000005, Cycle 202412, Close balance is a credit -45.00, Open 320.50, Min Due 0.00).</t>
        </is>
      </c>
      <c r="I14" s="11" t="inlineStr">
        <is>
          <t>1. Open the Statement View screen
2. Enter Acct ID = 00000000005
3. Enter Cycle = 202412
4. Press ENTER</t>
        </is>
      </c>
      <c r="J14" s="11" t="inlineStr">
        <is>
          <t>Acct ID=00000000005; Cycle=202412</t>
        </is>
      </c>
      <c r="K14" s="11" t="inlineStr">
        <is>
          <t>The amounts are shown through the display edit mask: Open Bal 「320.50」, Close 「-45.00」 (a credit shows a floating leading minus), Min Due 「0.00」, Due Date 「2025-01-15」. The message line reads 「Statement displayed.」.</t>
        </is>
      </c>
      <c r="L14" s="10" t="inlineStr"/>
      <c r="M14" s="15" t="inlineStr">
        <is>
          <t>×</t>
        </is>
      </c>
      <c r="N14" s="10" t="inlineStr"/>
      <c r="O14" s="10" t="inlineStr"/>
      <c r="P14" s="11" t="inlineStr">
        <is>
          <t>4000-POPULATE-DETAIL L208-213 · WS-ED-BAL PIC -,---,---,--9.99 (WCONST) · WS-ED-BAL(2:15) into 15-col STCLOSEO/STOPENO · sign floats, no BLANK-WHEN-ZERO</t>
        </is>
      </c>
    </row>
    <row r="15">
      <c r="A15" s="10" t="n">
        <v>6</v>
      </c>
      <c r="B15" s="17" t="n"/>
      <c r="C15" s="11" t="inlineStr">
        <is>
          <t>操作性・キー (Operability / function keys)</t>
        </is>
      </c>
      <c r="D15" s="12" t="inlineStr">
        <is>
          <t>IT_STMTVIEW_HAPPY_006</t>
        </is>
      </c>
      <c r="E15" s="11" t="inlineStr">
        <is>
          <t>PF3 returns to the main menu</t>
        </is>
      </c>
      <c r="F15" s="13" t="inlineStr">
        <is>
          <t>Normal</t>
        </is>
      </c>
      <c r="G15" s="14" t="inlineStr">
        <is>
          <t>Medium</t>
        </is>
      </c>
      <c r="H15" s="11" t="inlineStr">
        <is>
          <t>F-STD. The operator is on the Statement View screen (a statement may or may not be displayed).</t>
        </is>
      </c>
      <c r="I15" s="11" t="inlineStr">
        <is>
          <t>1. Open the Statement View screen
2. Press PF3</t>
        </is>
      </c>
      <c r="J15" s="11" t="inlineStr">
        <is>
          <t>AID key=PF3</t>
        </is>
      </c>
      <c r="K15" s="11" t="inlineStr">
        <is>
          <t>The transaction hands control back to the main menu; the Statement View screen is left. No statement lookup is attempted.</t>
        </is>
      </c>
      <c r="L15" s="10" t="inlineStr"/>
      <c r="M15" s="15" t="inlineStr">
        <is>
          <t>×</t>
        </is>
      </c>
      <c r="N15" s="10" t="inlineStr"/>
      <c r="O15" s="10" t="inlineStr"/>
      <c r="P15" s="11" t="inlineStr">
        <is>
          <t>2000-PROCESS-INPUT WHEN DFHPF3 L139-140 · 7000-XCTL-MENU XCTL PROGRAM('OCMENU') L292 (WS-MENU-PGM) · design §1.2 PF3=Back</t>
        </is>
      </c>
    </row>
    <row r="16">
      <c r="A16" s="10" t="n">
        <v>7</v>
      </c>
      <c r="B16" s="17" t="n"/>
      <c r="C16" s="23" t="n"/>
      <c r="D16" s="12" t="inlineStr">
        <is>
          <t>IT_STMTVIEW_HAPPY_007</t>
        </is>
      </c>
      <c r="E16" s="11" t="inlineStr">
        <is>
          <t>PF4 clears the entered values and re-prompts</t>
        </is>
      </c>
      <c r="F16" s="13" t="inlineStr">
        <is>
          <t>Normal</t>
        </is>
      </c>
      <c r="G16" s="14" t="inlineStr">
        <is>
          <t>Medium</t>
        </is>
      </c>
      <c r="H16" s="11" t="inlineStr">
        <is>
          <t>F-STD. The operator has typed Acct ID = 00000000001 and Cycle = 202412 but not yet confirmed.</t>
        </is>
      </c>
      <c r="I16" s="11" t="inlineStr">
        <is>
          <t>1. Open the Statement View screen
2. Type Acct ID = 00000000001 and Cycle = 202412
3. Press PF4</t>
        </is>
      </c>
      <c r="J16" s="11" t="inlineStr">
        <is>
          <t>AID key=PF4</t>
        </is>
      </c>
      <c r="K16" s="11" t="inlineStr">
        <is>
          <t>The form is repainted empty: the Acct ID, Cycle and the four detail fields are cleared, and the message line shows the prompt 「Enter account id and cycle, press ENTER.」 again. The cursor rests on the Acct ID field. The screen stays on Statement View.</t>
        </is>
      </c>
      <c r="L16" s="10" t="inlineStr"/>
      <c r="M16" s="15" t="inlineStr">
        <is>
          <t>×</t>
        </is>
      </c>
      <c r="N16" s="10" t="inlineStr"/>
      <c r="O16" s="10" t="inlineStr"/>
      <c r="P16" s="11" t="inlineStr">
        <is>
          <t>2000-PROCESS-INPUT WHEN DFHPF4 L141-142 → 1000-SEND-INITIAL (MOVE LOW-VALUES TO MSTMVAO L121, WS-M-PROMPT L123, SEND MAP ERASE L132)</t>
        </is>
      </c>
    </row>
    <row r="17">
      <c r="A17" s="10" t="n">
        <v>8</v>
      </c>
      <c r="B17" s="17" t="n"/>
      <c r="C17" s="11" t="inlineStr">
        <is>
          <t>状態遷移 (Screen / state transitions)</t>
        </is>
      </c>
      <c r="D17" s="12" t="inlineStr">
        <is>
          <t>IT_STMTVIEW_HAPPY_008</t>
        </is>
      </c>
      <c r="E17" s="11" t="inlineStr">
        <is>
          <t>Pseudo-conversational flow keeps the transaction and re-arms for the next lookup</t>
        </is>
      </c>
      <c r="F17" s="13" t="inlineStr">
        <is>
          <t>Normal</t>
        </is>
      </c>
      <c r="G17" s="14" t="inlineStr">
        <is>
          <t>Medium</t>
        </is>
      </c>
      <c r="H17" s="11" t="inlineStr">
        <is>
          <t>F-STD (statement S1 exists: Acct 00000000001, Cycle 202412).</t>
        </is>
      </c>
      <c r="I17" s="11" t="inlineStr">
        <is>
          <t>1. Open the Statement View screen (first entry)
2. Enter Acct ID = 00000000001, Cycle = 202412 and press ENTER
3. Observe the cursor and the screen state after the detail is shown</t>
        </is>
      </c>
      <c r="J17" s="11" t="inlineStr">
        <is>
          <t>Acct ID=00000000001; Cycle=202412</t>
        </is>
      </c>
      <c r="K17" s="11" t="inlineStr">
        <is>
          <t>After the details are displayed the transaction returns control to the terminal under transaction id 「ORSV」 (pseudo-conversational), the screen remains on Statement View, and the cursor is placed back on the Acct ID field so the operator can immediately key another account/cycle.</t>
        </is>
      </c>
      <c r="L17" s="10" t="inlineStr"/>
      <c r="M17" s="15" t="inlineStr">
        <is>
          <t>×</t>
        </is>
      </c>
      <c r="N17" s="10" t="inlineStr"/>
      <c r="O17" s="10" t="inlineStr"/>
      <c r="P17" s="11" t="inlineStr">
        <is>
          <t>0000-MAIN first-enter (EIBCALEN=0 / CA-FIRST-ENTER) vs re-enter L104-113 · 9000-RETURN TRANSID('ORSV') L340 · cursor MOVE -1 TO ACCTIDL L176</t>
        </is>
      </c>
    </row>
    <row r="18">
      <c r="A18" s="10" t="n">
        <v>9</v>
      </c>
      <c r="B18" s="17" t="n"/>
      <c r="C18" s="11" t="inlineStr">
        <is>
          <t>データ整合性・冪等性 (Data integrity / idempotency)</t>
        </is>
      </c>
      <c r="D18" s="12" t="inlineStr">
        <is>
          <t>IT_STMTVIEW_HAPPY_009</t>
        </is>
      </c>
      <c r="E18" s="11" t="inlineStr">
        <is>
          <t>Consecutive lookups are read-only and each returns its own statement unchanged</t>
        </is>
      </c>
      <c r="F18" s="13" t="inlineStr">
        <is>
          <t>Normal</t>
        </is>
      </c>
      <c r="G18" s="14" t="inlineStr">
        <is>
          <t>Low</t>
        </is>
      </c>
      <c r="H18" s="11" t="inlineStr">
        <is>
          <t>F-STD (statements S1 Acct 00000000001/202412, S2 Acct 00000000001/202411, S3 Acct 00000000005/202412 exist).</t>
        </is>
      </c>
      <c r="I18" s="11" t="inlineStr">
        <is>
          <t>1. Open the Statement View screen
2. Enter Acct ID = 00000000001, Cycle = 202412, press ENTER
3. Enter Acct ID = 00000000001, Cycle = 202411, press ENTER
4. Enter Acct ID = 00000000005, Cycle = 202412, press ENTER</t>
        </is>
      </c>
      <c r="J18" s="11" t="inlineStr">
        <is>
          <t>Keys: 00000000001/202412 → 00000000001/202411 → 00000000005/202412</t>
        </is>
      </c>
      <c r="K18" s="11" t="inlineStr">
        <is>
          <t>Each lookup replaces the detail with that statement's own values (S1 Close 「2,350.75」 → S2 Close 「1,200.00」 → S3 Close 「-45.00」), each with 「Statement displayed.」. Re-keying the same account/cycle returns identical values every time — no statement record is created, updated or deleted.</t>
        </is>
      </c>
      <c r="L18" s="10" t="inlineStr"/>
      <c r="M18" s="15" t="inlineStr">
        <is>
          <t>×</t>
        </is>
      </c>
      <c r="N18" s="10" t="inlineStr"/>
      <c r="O18" s="10" t="inlineStr"/>
      <c r="P18" s="11" t="inlineStr">
        <is>
          <t>read-only: only READ WS-STMTFILE L191 (no WRITE/REWRITE/DELETE) · design §5 no C/U/D · idempotent by construction</t>
        </is>
      </c>
    </row>
    <row r="19">
      <c r="A19" s="10" t="n">
        <v>10</v>
      </c>
      <c r="B19" s="17" t="n"/>
      <c r="C19" s="11" t="inlineStr">
        <is>
          <t>入力チェック (Input validation)</t>
        </is>
      </c>
      <c r="D19" s="12" t="inlineStr">
        <is>
          <t>UT_STMTVIEW_ABNORMAL_001</t>
        </is>
      </c>
      <c r="E19" s="11" t="inlineStr">
        <is>
          <t>Blank Acct ID is rejected</t>
        </is>
      </c>
      <c r="F19" s="13" t="inlineStr">
        <is>
          <t>Abnormal</t>
        </is>
      </c>
      <c r="G19" s="14" t="inlineStr">
        <is>
          <t>High</t>
        </is>
      </c>
      <c r="H19" s="11" t="inlineStr">
        <is>
          <t>F-STD. The operator is on the Statement View screen.</t>
        </is>
      </c>
      <c r="I19" s="11" t="inlineStr">
        <is>
          <t>1. Open the Statement View screen
2. Leave Acct ID blank
3. Enter Cycle = 202412
4. Press ENTER</t>
        </is>
      </c>
      <c r="J19" s="11" t="inlineStr">
        <is>
          <t>Acct ID=(blank); Cycle=202412</t>
        </is>
      </c>
      <c r="K19" s="11" t="inlineStr">
        <is>
          <t>The blank Acct ID yields zero digits and is rejected: the message line reads 「Account id must be numeric.」, no lookup is performed, the cursor returns to the Acct ID field and the screen stays on Statement View.</t>
        </is>
      </c>
      <c r="L19" s="10" t="inlineStr"/>
      <c r="M19" s="15" t="inlineStr">
        <is>
          <t>×</t>
        </is>
      </c>
      <c r="N19" s="10" t="inlineStr"/>
      <c r="O19" s="10" t="inlineStr"/>
      <c r="P19" s="11" t="inlineStr">
        <is>
          <t>6100-VALIDATE-KEY L230-236 (WS-M-ACCT-NUM) · 6000-PARSE-NUM WS-NC-DIGITS=0 → WS-INVALID L278-279 · cursor L165</t>
        </is>
      </c>
    </row>
    <row r="20">
      <c r="A20" s="10" t="n">
        <v>11</v>
      </c>
      <c r="B20" s="17" t="n"/>
      <c r="C20" s="17" t="n"/>
      <c r="D20" s="12" t="inlineStr">
        <is>
          <t>UT_STMTVIEW_ABNORMAL_002</t>
        </is>
      </c>
      <c r="E20" s="11" t="inlineStr">
        <is>
          <t>Non-numeric Acct ID is rejected</t>
        </is>
      </c>
      <c r="F20" s="13" t="inlineStr">
        <is>
          <t>Abnormal</t>
        </is>
      </c>
      <c r="G20" s="14" t="inlineStr">
        <is>
          <t>High</t>
        </is>
      </c>
      <c r="H20" s="11" t="inlineStr">
        <is>
          <t>F-STD. The operator is on the Statement View screen.</t>
        </is>
      </c>
      <c r="I20" s="11" t="inlineStr">
        <is>
          <t>1. Open the Statement View screen
2. Enter Acct ID = 000000A0001 (contains a letter)
3. Enter Cycle = 202412
4. Press ENTER</t>
        </is>
      </c>
      <c r="J20" s="11" t="inlineStr">
        <is>
          <t>Acct ID=000000A0001; Cycle=202412</t>
        </is>
      </c>
      <c r="K20" s="11" t="inlineStr">
        <is>
          <t>The letter makes the Acct ID non-numeric and it is rejected: the message line reads 「Account id must be numeric.」, no lookup is performed and the cursor returns to the Acct ID field.</t>
        </is>
      </c>
      <c r="L20" s="10" t="inlineStr"/>
      <c r="M20" s="15" t="inlineStr">
        <is>
          <t>×</t>
        </is>
      </c>
      <c r="N20" s="10" t="inlineStr"/>
      <c r="O20" s="10" t="inlineStr"/>
      <c r="P20" s="11" t="inlineStr">
        <is>
          <t>6100-VALIDATE-KEY L233-236 · 6000-PARSE-NUM WHEN OTHER (non-digit,non-space) → WS-INVALID L274-275</t>
        </is>
      </c>
    </row>
    <row r="21">
      <c r="A21" s="10" t="n">
        <v>12</v>
      </c>
      <c r="B21" s="17" t="n"/>
      <c r="C21" s="17" t="n"/>
      <c r="D21" s="12" t="inlineStr">
        <is>
          <t>UT_STMTVIEW_ABNORMAL_003</t>
        </is>
      </c>
      <c r="E21" s="11" t="inlineStr">
        <is>
          <t>Blank Cycle is rejected</t>
        </is>
      </c>
      <c r="F21" s="13" t="inlineStr">
        <is>
          <t>Abnormal</t>
        </is>
      </c>
      <c r="G21" s="14" t="inlineStr">
        <is>
          <t>High</t>
        </is>
      </c>
      <c r="H21" s="11" t="inlineStr">
        <is>
          <t>F-STD. The operator is on the Statement View screen.</t>
        </is>
      </c>
      <c r="I21" s="11" t="inlineStr">
        <is>
          <t>1. Open the Statement View screen
2. Enter Acct ID = 00000000001
3. Leave Cycle blank
4. Press ENTER</t>
        </is>
      </c>
      <c r="J21" s="11" t="inlineStr">
        <is>
          <t>Acct ID=00000000001; Cycle=(blank)</t>
        </is>
      </c>
      <c r="K21" s="11" t="inlineStr">
        <is>
          <t>The blank Cycle yields zero digits (not six) and is rejected: the message line reads 「Cycle must be six digits (YYYYMM).」, no lookup is performed and the screen stays on Statement View.</t>
        </is>
      </c>
      <c r="L21" s="10" t="inlineStr"/>
      <c r="M21" s="15" t="inlineStr">
        <is>
          <t>×</t>
        </is>
      </c>
      <c r="N21" s="10" t="inlineStr"/>
      <c r="O21" s="10" t="inlineStr"/>
      <c r="P21" s="11" t="inlineStr">
        <is>
          <t>6100-VALIDATE-KEY L239-245 (WS-M-CYC-NUM) · 6000-PARSE-NUM WS-NC-DIGITS=0 → WS-INVALID, and NOT = 6 L242</t>
        </is>
      </c>
    </row>
    <row r="22">
      <c r="A22" s="10" t="n">
        <v>13</v>
      </c>
      <c r="B22" s="17" t="n"/>
      <c r="C22" s="17" t="n"/>
      <c r="D22" s="12" t="inlineStr">
        <is>
          <t>UT_STMTVIEW_ABNORMAL_004</t>
        </is>
      </c>
      <c r="E22" s="11" t="inlineStr">
        <is>
          <t>Non-numeric Cycle is rejected</t>
        </is>
      </c>
      <c r="F22" s="13" t="inlineStr">
        <is>
          <t>Abnormal</t>
        </is>
      </c>
      <c r="G22" s="14" t="inlineStr">
        <is>
          <t>Medium</t>
        </is>
      </c>
      <c r="H22" s="11" t="inlineStr">
        <is>
          <t>F-STD. The operator is on the Statement View screen.</t>
        </is>
      </c>
      <c r="I22" s="11" t="inlineStr">
        <is>
          <t>1. Open the Statement View screen
2. Enter Acct ID = 00000000001
3. Enter Cycle = 2024XY (contains letters)
4. Press ENTER</t>
        </is>
      </c>
      <c r="J22" s="11" t="inlineStr">
        <is>
          <t>Acct ID=00000000001; Cycle=2024XY</t>
        </is>
      </c>
      <c r="K22" s="11" t="inlineStr">
        <is>
          <t>The letters make the Cycle non-numeric and it is rejected: the message line reads 「Cycle must be six digits (YYYYMM).」, no lookup is performed.</t>
        </is>
      </c>
      <c r="L22" s="10" t="inlineStr"/>
      <c r="M22" s="15" t="inlineStr">
        <is>
          <t>×</t>
        </is>
      </c>
      <c r="N22" s="10" t="inlineStr"/>
      <c r="O22" s="10" t="inlineStr"/>
      <c r="P22" s="11" t="inlineStr">
        <is>
          <t>6100-VALIDATE-KEY L239-245 · 6000-PARSE-NUM WHEN OTHER → WS-INVALID L274-275</t>
        </is>
      </c>
    </row>
    <row r="23">
      <c r="A23" s="10" t="n">
        <v>14</v>
      </c>
      <c r="B23" s="17" t="n"/>
      <c r="C23" s="23" t="n"/>
      <c r="D23" s="12" t="inlineStr">
        <is>
          <t>UT_STMTVIEW_ABNORMAL_005</t>
        </is>
      </c>
      <c r="E23" s="11" t="inlineStr">
        <is>
          <t>Cycle with month above 12 is rejected</t>
        </is>
      </c>
      <c r="F23" s="13" t="inlineStr">
        <is>
          <t>Abnormal</t>
        </is>
      </c>
      <c r="G23" s="14" t="inlineStr">
        <is>
          <t>High</t>
        </is>
      </c>
      <c r="H23" s="11" t="inlineStr">
        <is>
          <t>F-STD. The operator is on the Statement View screen.</t>
        </is>
      </c>
      <c r="I23" s="11" t="inlineStr">
        <is>
          <t>1. Open the Statement View screen
2. Enter Acct ID = 00000000001
3. Enter Cycle = 202413 (month = 13)
4. Press ENTER</t>
        </is>
      </c>
      <c r="J23" s="11" t="inlineStr">
        <is>
          <t>Acct ID=00000000001; Cycle=202413</t>
        </is>
      </c>
      <c r="K23" s="11" t="inlineStr">
        <is>
          <t>The Cycle is six numeric digits but its month part (13) is out of range: the message line reads 「Cycle month must be 01 through 12.」, no lookup is performed.</t>
        </is>
      </c>
      <c r="L23" s="10" t="inlineStr"/>
      <c r="M23" s="15" t="inlineStr">
        <is>
          <t>×</t>
        </is>
      </c>
      <c r="N23" s="10" t="inlineStr"/>
      <c r="O23" s="10" t="inlineStr"/>
      <c r="P23" s="11" t="inlineStr">
        <is>
          <t>6100-VALIDATE-KEY L247-251 (WS-M-CYC-MM) · WS-CYC-MM = WS-CYCLE(5:2) L248 · WS-CYC-MM &gt; 12 L249</t>
        </is>
      </c>
    </row>
    <row r="24">
      <c r="A24" s="10" t="n">
        <v>15</v>
      </c>
      <c r="B24" s="17" t="n"/>
      <c r="C24" s="11" t="inlineStr">
        <is>
          <t>メッセージ・異常系 (Messages / abnormal)</t>
        </is>
      </c>
      <c r="D24" s="12" t="inlineStr">
        <is>
          <t>UT_STMTVIEW_ABNORMAL_006</t>
        </is>
      </c>
      <c r="E24" s="11" t="inlineStr">
        <is>
          <t>Unsupported function key is rejected</t>
        </is>
      </c>
      <c r="F24" s="13" t="inlineStr">
        <is>
          <t>Abnormal</t>
        </is>
      </c>
      <c r="G24" s="14" t="inlineStr">
        <is>
          <t>Medium</t>
        </is>
      </c>
      <c r="H24" s="11" t="inlineStr">
        <is>
          <t>F-STD. The operator is on the Statement View screen.</t>
        </is>
      </c>
      <c r="I24" s="11" t="inlineStr">
        <is>
          <t>1. Open the Statement View screen
2. Enter Acct ID = 00000000001, Cycle = 202412
3. Press PF12 (a key the screen does not support)</t>
        </is>
      </c>
      <c r="J24" s="11" t="inlineStr">
        <is>
          <t>AID key=PF12</t>
        </is>
      </c>
      <c r="K24" s="11" t="inlineStr">
        <is>
          <t>The key is not one of ENTER / PF3 / PF4, so nothing is processed: the screen is repainted and the message line reads 「Invalid key pressed. Please try again.」. The screen stays on Statement View.</t>
        </is>
      </c>
      <c r="L24" s="10" t="inlineStr"/>
      <c r="M24" s="15" t="inlineStr">
        <is>
          <t>×</t>
        </is>
      </c>
      <c r="N24" s="10" t="inlineStr"/>
      <c r="O24" s="10" t="inlineStr"/>
      <c r="P24" s="11" t="inlineStr">
        <is>
          <t>2000-PROCESS-INPUT EVALUATE EIBAID WHEN OTHER L145-147 · WS-MSG-INVALID-KEY (WMSG) · 8100-SEND-DATAONLY L306-315</t>
        </is>
      </c>
    </row>
    <row r="25">
      <c r="A25" s="10" t="n">
        <v>16</v>
      </c>
      <c r="B25" s="17" t="n"/>
      <c r="C25" s="23" t="n"/>
      <c r="D25" s="12" t="inlineStr">
        <is>
          <t>UT_STMTVIEW_ABNORMAL_007</t>
        </is>
      </c>
      <c r="E25" s="11" t="inlineStr">
        <is>
          <t>Unrecoverable statement-file error aborts the transaction</t>
        </is>
      </c>
      <c r="F25" s="13" t="inlineStr">
        <is>
          <t>Abnormal</t>
        </is>
      </c>
      <c r="G25" s="14" t="inlineStr">
        <is>
          <t>Medium</t>
        </is>
      </c>
      <c r="H25" s="11" t="inlineStr">
        <is>
          <t>F-STD, but the statement file read returns a response other than normal or not-found (e.g. the file is closed/unavailable — an induced I/O fault). *(needs real data)* for how the environment induces the fault.</t>
        </is>
      </c>
      <c r="I25" s="11" t="inlineStr">
        <is>
          <t>1. Open the Statement View screen
2. Enter Acct ID = 00000000001, Cycle = 202412
3. Press ENTER while the statement file is in the fault state</t>
        </is>
      </c>
      <c r="J25" s="11" t="inlineStr">
        <is>
          <t>Acct ID=00000000001; Cycle=202412 (file I/O fault induced)</t>
        </is>
      </c>
      <c r="K25" s="11" t="inlineStr">
        <is>
          <t>The file read fails with a response other than normal/not-found; the screen is cleared and the full-screen text 「OCSTMV: unrecoverable file error. Contact support.」 is shown, then the transaction ends (control returned to CICS).</t>
        </is>
      </c>
      <c r="L25" s="10" t="inlineStr"/>
      <c r="M25" s="15" t="inlineStr">
        <is>
          <t>×</t>
        </is>
      </c>
      <c r="N25" s="10" t="inlineStr"/>
      <c r="O25" s="10" t="inlineStr"/>
      <c r="P25" s="11" t="inlineStr">
        <is>
          <t>3000-READ-STMT EVALUATE WS-RESP-CD WHEN OTHER L197-198 → 9500-ABEND-RTN (WS-MSG-TEXT L345 · SEND TEXT ERASE FREEKB L353 · RETURN L356)</t>
        </is>
      </c>
    </row>
    <row r="26">
      <c r="A26" s="10" t="n">
        <v>17</v>
      </c>
      <c r="B26" s="17" t="n"/>
      <c r="C26" s="11" t="inlineStr">
        <is>
          <t>境界値 (Boundary values)</t>
        </is>
      </c>
      <c r="D26" s="12" t="inlineStr">
        <is>
          <t>UT_STMTVIEW_BOUNDARY_001</t>
        </is>
      </c>
      <c r="E26" s="11" t="inlineStr">
        <is>
          <t>Acct ID shorter than 11 digits is accepted (leading zeros implied, spaces tolerated)</t>
        </is>
      </c>
      <c r="F26" s="13" t="inlineStr">
        <is>
          <t>Boundary</t>
        </is>
      </c>
      <c r="G26" s="14" t="inlineStr">
        <is>
          <t>Low</t>
        </is>
      </c>
      <c r="H26" s="11" t="inlineStr">
        <is>
          <t>F-STD (statement S1 exists: Acct 00000000001, Cycle 202412).</t>
        </is>
      </c>
      <c r="I26" s="11" t="inlineStr">
        <is>
          <t>1. Open the Statement View screen
2. Enter Acct ID = 1 (a single digit, rest of the field left blank)
3. Enter Cycle = 202412
4. Press ENTER</t>
        </is>
      </c>
      <c r="J26" s="11" t="inlineStr">
        <is>
          <t>Acct ID=1; Cycle=202412</t>
        </is>
      </c>
      <c r="K26" s="11" t="inlineStr">
        <is>
          <t>The single digit is accepted as a numeric account and right-aligned to 00000000001 (blanks in the field are tolerated), so statement S1 is retrieved and its details are shown with 「Statement displayed.」 — no 「Account id must be numeric.」 error appears.</t>
        </is>
      </c>
      <c r="L26" s="10" t="inlineStr"/>
      <c r="M26" s="15" t="inlineStr">
        <is>
          <t>×</t>
        </is>
      </c>
      <c r="N26" s="10" t="inlineStr"/>
      <c r="O26" s="10" t="inlineStr"/>
      <c r="P26" s="11" t="inlineStr">
        <is>
          <t>6000-PARSE-NUM SPACE→CONTINUE L267-268, digits accumulated into WS-NC-VALUE → WS-ACCT 9(11) L238 · 1..11 digits valid (NOTES discrepancy 5)</t>
        </is>
      </c>
    </row>
    <row r="27">
      <c r="A27" s="10" t="n">
        <v>18</v>
      </c>
      <c r="B27" s="17" t="n"/>
      <c r="C27" s="17" t="n"/>
      <c r="D27" s="12" t="inlineStr">
        <is>
          <t>UT_STMTVIEW_BOUNDARY_002</t>
        </is>
      </c>
      <c r="E27" s="11" t="inlineStr">
        <is>
          <t>Acct ID at maximum 11 digits is accepted as numeric</t>
        </is>
      </c>
      <c r="F27" s="13" t="inlineStr">
        <is>
          <t>Boundary</t>
        </is>
      </c>
      <c r="G27" s="14" t="inlineStr">
        <is>
          <t>Low</t>
        </is>
      </c>
      <c r="H27" s="11" t="inlineStr">
        <is>
          <t>F-STD (no statement for Acct 99999999999, Cycle 202412).</t>
        </is>
      </c>
      <c r="I27" s="11" t="inlineStr">
        <is>
          <t>1. Open the Statement View screen
2. Enter Acct ID = 99999999999 (11 digits, the field maximum)
3. Enter Cycle = 202412
4. Press ENTER</t>
        </is>
      </c>
      <c r="J27" s="11" t="inlineStr">
        <is>
          <t>Acct ID=99999999999; Cycle=202412</t>
        </is>
      </c>
      <c r="K27" s="11" t="inlineStr">
        <is>
          <t>All 11 digits are accepted as numeric (no 「Account id must be numeric.」), the lookup runs, and since no statement exists for that account/cycle the detail fields are cleared and the message line reads 「No statement for that account and cycle.」.</t>
        </is>
      </c>
      <c r="L27" s="10" t="inlineStr"/>
      <c r="M27" s="15" t="inlineStr">
        <is>
          <t>×</t>
        </is>
      </c>
      <c r="N27" s="10" t="inlineStr"/>
      <c r="O27" s="10" t="inlineStr"/>
      <c r="P27" s="11" t="inlineStr">
        <is>
          <t>6100-VALIDATE-KEY digit-count 11 not &gt; 11 (max) L233 · WS-ACCT 9(11) · 3000-READ-STMT DFHRESP(NOTFND) L195-196 · &gt; 11 branch unreachable (NOTES discrepancy 4)</t>
        </is>
      </c>
    </row>
    <row r="28">
      <c r="A28" s="10" t="n">
        <v>19</v>
      </c>
      <c r="B28" s="17" t="n"/>
      <c r="C28" s="17" t="n"/>
      <c r="D28" s="12" t="inlineStr">
        <is>
          <t>UT_STMTVIEW_BOUNDARY_003</t>
        </is>
      </c>
      <c r="E28" s="11" t="inlineStr">
        <is>
          <t>Cycle with only five digits is rejected (one short of the required six)</t>
        </is>
      </c>
      <c r="F28" s="13" t="inlineStr">
        <is>
          <t>Boundary</t>
        </is>
      </c>
      <c r="G28" s="14" t="inlineStr">
        <is>
          <t>Medium</t>
        </is>
      </c>
      <c r="H28" s="11" t="inlineStr">
        <is>
          <t>F-STD. The operator is on the Statement View screen.</t>
        </is>
      </c>
      <c r="I28" s="11" t="inlineStr">
        <is>
          <t>1. Open the Statement View screen
2. Enter Acct ID = 00000000001
3. Enter Cycle = 20241 (five digits)
4. Press ENTER</t>
        </is>
      </c>
      <c r="J28" s="11" t="inlineStr">
        <is>
          <t>Acct ID=00000000001; Cycle=20241</t>
        </is>
      </c>
      <c r="K28" s="11" t="inlineStr">
        <is>
          <t>Five digits is not exactly six, so the Cycle is rejected: the message line reads 「Cycle must be six digits (YYYYMM).」 and no lookup is performed. (Six digits such as 202412 would be accepted.)</t>
        </is>
      </c>
      <c r="L28" s="10" t="inlineStr"/>
      <c r="M28" s="15" t="inlineStr">
        <is>
          <t>×</t>
        </is>
      </c>
      <c r="N28" s="10" t="inlineStr"/>
      <c r="O28" s="10" t="inlineStr"/>
      <c r="P28" s="11" t="inlineStr">
        <is>
          <t>6100-VALIDATE-KEY WS-NC-DIGITS NOT = 6 L242-245 · digit-count boundary 5 vs 6 (field len 6 so 7+ impossible)</t>
        </is>
      </c>
    </row>
    <row r="29">
      <c r="A29" s="10" t="n">
        <v>20</v>
      </c>
      <c r="B29" s="17" t="n"/>
      <c r="C29" s="17" t="n"/>
      <c r="D29" s="12" t="inlineStr">
        <is>
          <t>UT_STMTVIEW_BOUNDARY_004</t>
        </is>
      </c>
      <c r="E29" s="11" t="inlineStr">
        <is>
          <t>Cycle month lower boundary — 00 rejected, 01 accepted</t>
        </is>
      </c>
      <c r="F29" s="13" t="inlineStr">
        <is>
          <t>Boundary</t>
        </is>
      </c>
      <c r="G29" s="14" t="inlineStr">
        <is>
          <t>Medium</t>
        </is>
      </c>
      <c r="H29" s="11" t="inlineStr">
        <is>
          <t>F-STD (a statement exists for Acct 00000000001, Cycle 202401).</t>
        </is>
      </c>
      <c r="I29" s="11" t="inlineStr">
        <is>
          <t>1. Open the Statement View screen
2. Enter Acct ID = 00000000001, Cycle = 202400, press ENTER
3. Then enter Acct ID = 00000000001, Cycle = 202401, press ENTER</t>
        </is>
      </c>
      <c r="J29" s="11" t="inlineStr">
        <is>
          <t>Cycle=202400 (month 00) → Cycle=202401 (month 01)</t>
        </is>
      </c>
      <c r="K29" s="11" t="inlineStr">
        <is>
          <t>Month 00 is below the valid range and is rejected with 「Cycle month must be 01 through 12.」 (no lookup). Month 01 is the valid minimum and is accepted, so the lookup runs for cycle 202401.</t>
        </is>
      </c>
      <c r="L29" s="10" t="inlineStr"/>
      <c r="M29" s="15" t="inlineStr">
        <is>
          <t>×</t>
        </is>
      </c>
      <c r="N29" s="10" t="inlineStr"/>
      <c r="O29" s="10" t="inlineStr"/>
      <c r="P29" s="11" t="inlineStr">
        <is>
          <t>6100-VALIDATE-KEY WS-CYC-MM &lt; 1 L249 (00 rejected) · 01 passes the &lt; 1 / &gt; 12 test → 3000-READ-STMT · both sides of the lower bound</t>
        </is>
      </c>
    </row>
    <row r="30">
      <c r="A30" s="10" t="n">
        <v>21</v>
      </c>
      <c r="B30" s="17" t="n"/>
      <c r="C30" s="17" t="n"/>
      <c r="D30" s="12" t="inlineStr">
        <is>
          <t>UT_STMTVIEW_BOUNDARY_005</t>
        </is>
      </c>
      <c r="E30" s="11" t="inlineStr">
        <is>
          <t>Cycle month upper boundary — 12 accepted, 13 rejected</t>
        </is>
      </c>
      <c r="F30" s="13" t="inlineStr">
        <is>
          <t>Boundary</t>
        </is>
      </c>
      <c r="G30" s="14" t="inlineStr">
        <is>
          <t>Medium</t>
        </is>
      </c>
      <c r="H30" s="11" t="inlineStr">
        <is>
          <t>F-STD (statement S1 exists: Acct 00000000001, Cycle 202412).</t>
        </is>
      </c>
      <c r="I30" s="11" t="inlineStr">
        <is>
          <t>1. Open the Statement View screen
2. Enter Acct ID = 00000000001, Cycle = 202412, press ENTER
3. Then enter Acct ID = 00000000001, Cycle = 202413, press ENTER</t>
        </is>
      </c>
      <c r="J30" s="11" t="inlineStr">
        <is>
          <t>Cycle=202412 (month 12) → Cycle=202413 (month 13)</t>
        </is>
      </c>
      <c r="K30" s="11" t="inlineStr">
        <is>
          <t>Month 12 is the valid maximum and is accepted, so statement S1 is retrieved (Close 「2,350.75」, 「Statement displayed.」). Month 13 is above the valid range and is rejected with 「Cycle month must be 01 through 12.」 (no lookup).</t>
        </is>
      </c>
      <c r="L30" s="10" t="inlineStr"/>
      <c r="M30" s="15" t="inlineStr">
        <is>
          <t>×</t>
        </is>
      </c>
      <c r="N30" s="10" t="inlineStr"/>
      <c r="O30" s="10" t="inlineStr"/>
      <c r="P30" s="11" t="inlineStr">
        <is>
          <t>6100-VALIDATE-KEY WS-CYC-MM &gt; 12 L249 (13 rejected) · 12 passes → 3000-READ-STMT · both sides of the upper bound</t>
        </is>
      </c>
    </row>
    <row r="31">
      <c r="A31" s="10" t="n">
        <v>22</v>
      </c>
      <c r="B31" s="23" t="n"/>
      <c r="C31" s="23" t="n"/>
      <c r="D31" s="12" t="inlineStr">
        <is>
          <t>UT_STMTVIEW_BOUNDARY_006</t>
        </is>
      </c>
      <c r="E31" s="11" t="inlineStr">
        <is>
          <t>Zero balances are shown as 0.00 (no blank-when-zero)</t>
        </is>
      </c>
      <c r="F31" s="13" t="inlineStr">
        <is>
          <t>Boundary</t>
        </is>
      </c>
      <c r="G31" s="14" t="inlineStr">
        <is>
          <t>Low</t>
        </is>
      </c>
      <c r="H31" s="11" t="inlineStr">
        <is>
          <t>F-STD (statement S4: Acct 00000000009, Cycle 202412, all balances 0.00).</t>
        </is>
      </c>
      <c r="I31" s="11" t="inlineStr">
        <is>
          <t>1. Open the Statement View screen
2. Enter Acct ID = 00000000009
3. Enter Cycle = 202412
4. Press ENTER</t>
        </is>
      </c>
      <c r="J31" s="11" t="inlineStr">
        <is>
          <t>Acct ID=00000000009; Cycle=202412</t>
        </is>
      </c>
      <c r="K31" s="11" t="inlineStr">
        <is>
          <t>The statement is found and the zero amounts are shown as 「0.00」 (not blank) for Open Bal, Close and Min Due; Due Date 「2025-01-15」; the message line reads 「Statement displayed.」.</t>
        </is>
      </c>
      <c r="L31" s="10" t="inlineStr"/>
      <c r="M31" s="15" t="inlineStr">
        <is>
          <t>×</t>
        </is>
      </c>
      <c r="N31" s="10" t="inlineStr"/>
      <c r="O31" s="10" t="inlineStr"/>
      <c r="P31" s="11" t="inlineStr">
        <is>
          <t>4000-POPULATE-DETAIL L208-213 · WS-ED-BAL PIC -,---,---,--9.99 has no BLANK WHEN ZERO → zero prints 0.00</t>
        </is>
      </c>
    </row>
  </sheetData>
  <mergeCells count="22">
    <mergeCell ref="C7:F7"/>
    <mergeCell ref="A6:B6"/>
    <mergeCell ref="M4:P4"/>
    <mergeCell ref="A7:B7"/>
    <mergeCell ref="C26:C31"/>
    <mergeCell ref="C12:C13"/>
    <mergeCell ref="C6:F6"/>
    <mergeCell ref="B10:B31"/>
    <mergeCell ref="C19:C23"/>
    <mergeCell ref="C5:F5"/>
    <mergeCell ref="M5:P5"/>
    <mergeCell ref="C4:F4"/>
    <mergeCell ref="A1:P1"/>
    <mergeCell ref="A5:B5"/>
    <mergeCell ref="G4:K4"/>
    <mergeCell ref="A4:B4"/>
    <mergeCell ref="G5:K7"/>
    <mergeCell ref="M7:P7"/>
    <mergeCell ref="M6:P6"/>
    <mergeCell ref="C15:C16"/>
    <mergeCell ref="C24:C25"/>
    <mergeCell ref="A2:P2"/>
  </mergeCells>
  <conditionalFormatting sqref="N10:N19">
    <cfRule type="cellIs" priority="1" operator="equal" dxfId="0">
      <formula>"Pass"</formula>
    </cfRule>
    <cfRule type="cellIs" priority="2" operator="equal" dxfId="1">
      <formula>"Fail"</formula>
    </cfRule>
    <cfRule type="cellIs" priority="3" operator="equal" dxfId="2">
      <formula>"Pending"</formula>
    </cfRule>
    <cfRule type="cellIs" priority="4" operator="equal" dxfId="3">
      <formula>"N/A"</formula>
    </cfRule>
  </conditionalFormatting>
  <dataValidations count="1">
    <dataValidation sqref="N10:N31" showDropDown="0" showInputMessage="0" showErrorMessage="0" allowBlank="1" type="list">
      <formula1>"Pass,Fail,Pending,N/A"</formula1>
    </dataValidation>
  </dataValidation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2026-07-06T17:47:27Z</dcterms:created>
  <dcterms:modified xsi:type="dcterms:W3CDTF">2026-09-28T15:02:43Z</dcterms:modified>
</cp:coreProperties>
</file>